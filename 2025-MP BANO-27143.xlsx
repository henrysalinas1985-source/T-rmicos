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salinas\Documents\SAP\TERUMO\Mondis\centrifugas\"/>
    </mc:Choice>
  </mc:AlternateContent>
  <xr:revisionPtr revIDLastSave="0" documentId="8_{C15904AC-AF65-4ED4-A103-32ACC96A1F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rmómetros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9" i="10" l="1"/>
  <c r="I48" i="10"/>
  <c r="I50" i="10" l="1"/>
</calcChain>
</file>

<file path=xl/sharedStrings.xml><?xml version="1.0" encoding="utf-8"?>
<sst xmlns="http://schemas.openxmlformats.org/spreadsheetml/2006/main" count="153" uniqueCount="117">
  <si>
    <t>Instrumental utilizado</t>
  </si>
  <si>
    <t>Marca</t>
  </si>
  <si>
    <t>N° de serie</t>
  </si>
  <si>
    <t>Edificio:</t>
  </si>
  <si>
    <t>Sector:</t>
  </si>
  <si>
    <t>Fecha:</t>
  </si>
  <si>
    <t>Realizó:</t>
  </si>
  <si>
    <t>Ubicación:</t>
  </si>
  <si>
    <t>Orden M:</t>
  </si>
  <si>
    <t>Vigencia</t>
  </si>
  <si>
    <t>°C</t>
  </si>
  <si>
    <t>Versión:</t>
  </si>
  <si>
    <t>Lectura 1</t>
  </si>
  <si>
    <t>Lectura 2</t>
  </si>
  <si>
    <t>Lectura 3</t>
  </si>
  <si>
    <t>Patrón</t>
  </si>
  <si>
    <t>a un punto de temperatura</t>
  </si>
  <si>
    <t>Unidad</t>
  </si>
  <si>
    <t>Error máximo permitido (EMP)</t>
  </si>
  <si>
    <t>Estado de valoración (marcar con X lo que corresponda)</t>
  </si>
  <si>
    <t>Inspección superada, el equipo es apto para el uso</t>
  </si>
  <si>
    <t>El equipo ha necesitado reparación</t>
  </si>
  <si>
    <t>El equipo no está reparado. No se puede usar</t>
  </si>
  <si>
    <t>Comentarios:</t>
  </si>
  <si>
    <t>8.1</t>
  </si>
  <si>
    <t xml:space="preserve">Test de Inspección y Funcionalidad </t>
  </si>
  <si>
    <t>Marcar P (Pasó) o F (Falló) según corresponda</t>
  </si>
  <si>
    <t>8.1.1</t>
  </si>
  <si>
    <t>Chasis</t>
  </si>
  <si>
    <t>8.1.2</t>
  </si>
  <si>
    <t>Montajes y Apoyos</t>
  </si>
  <si>
    <t>8.1.3</t>
  </si>
  <si>
    <t>8.1.4</t>
  </si>
  <si>
    <t>8.1.5</t>
  </si>
  <si>
    <t>Amarres contra tirones</t>
  </si>
  <si>
    <t>8.1.6</t>
  </si>
  <si>
    <t>8.1.7</t>
  </si>
  <si>
    <t>Controles y Teclas</t>
  </si>
  <si>
    <t>8.1.8</t>
  </si>
  <si>
    <t>8.1.9</t>
  </si>
  <si>
    <t>Indicadores y Displays</t>
  </si>
  <si>
    <t>8.1.10</t>
  </si>
  <si>
    <t>8.1.11</t>
  </si>
  <si>
    <t>Etiquetado</t>
  </si>
  <si>
    <t>Ficha de alimentación y tomacorriente</t>
  </si>
  <si>
    <t>Cable de alimentación</t>
  </si>
  <si>
    <t>Escala</t>
  </si>
  <si>
    <t>Interruptores y fusibles</t>
  </si>
  <si>
    <t>Sonda de medición</t>
  </si>
  <si>
    <t>8.2</t>
  </si>
  <si>
    <t>Test cualitativo</t>
  </si>
  <si>
    <t>8.2.1</t>
  </si>
  <si>
    <t>Características del termómetro patrón</t>
  </si>
  <si>
    <t>8.2.2</t>
  </si>
  <si>
    <t>Ambiental (2 °C)</t>
  </si>
  <si>
    <t>Mediciones</t>
  </si>
  <si>
    <t>Calibración</t>
  </si>
  <si>
    <t>Termómetro a calibrar</t>
  </si>
  <si>
    <t>Características del termómetro a calibrar</t>
  </si>
  <si>
    <t>8.2.3</t>
  </si>
  <si>
    <t>8.2.4</t>
  </si>
  <si>
    <t>Presionar la tecla Alarm Test</t>
  </si>
  <si>
    <t>Se encienden todos los segmentos del displays</t>
  </si>
  <si>
    <t>Se encienden todos los led´s indicadores</t>
  </si>
  <si>
    <t>Alarma de baja temperatura</t>
  </si>
  <si>
    <t>Alarma de sobre temperatura</t>
  </si>
  <si>
    <t>Incertidumbre de calibración (Up)</t>
  </si>
  <si>
    <t>Resolución (rp)</t>
  </si>
  <si>
    <t>Resolución (rx)</t>
  </si>
  <si>
    <t>Incertidumbre combinada expandida (Uc)</t>
  </si>
  <si>
    <t>Error total en la medida del termómetro a calibrar (ETtx)</t>
  </si>
  <si>
    <t>Error sistemático (ES)</t>
  </si>
  <si>
    <t>8.3</t>
  </si>
  <si>
    <t>Limpieza</t>
  </si>
  <si>
    <t>Mantenimiento Preventivo:
Marcar P (Pasó) o F (Falló) según corresponda</t>
  </si>
  <si>
    <t>8.2.4.1</t>
  </si>
  <si>
    <t>8.2.4.2</t>
  </si>
  <si>
    <t>8.2.4.3</t>
  </si>
  <si>
    <t>Test de alarmas
Marcar P(Pasó) o F(Falló) según corresponda</t>
  </si>
  <si>
    <t>8.3.1</t>
  </si>
  <si>
    <t>8.3.2</t>
  </si>
  <si>
    <t>8.4</t>
  </si>
  <si>
    <t>8.4.1</t>
  </si>
  <si>
    <t>8.4.2</t>
  </si>
  <si>
    <t>8.4.3</t>
  </si>
  <si>
    <t>8.4.4</t>
  </si>
  <si>
    <t>Reemplazo de componentes</t>
  </si>
  <si>
    <t>Ajuste</t>
  </si>
  <si>
    <t>Test de seguridad eléctrica</t>
  </si>
  <si>
    <t xml:space="preserve">Inspecion, Calibración y Mantenimiento de termómetros </t>
  </si>
  <si>
    <t>IC - TER - F402</t>
  </si>
  <si>
    <t>1.0</t>
  </si>
  <si>
    <t>SI</t>
  </si>
  <si>
    <t>NO</t>
  </si>
  <si>
    <r>
      <t xml:space="preserve">El equipo se da </t>
    </r>
    <r>
      <rPr>
        <b/>
        <sz val="10"/>
        <color indexed="62"/>
        <rFont val="Arial"/>
        <family val="2"/>
      </rPr>
      <t>DE BAJA</t>
    </r>
  </si>
  <si>
    <t>Pasó</t>
  </si>
  <si>
    <t>Falló</t>
  </si>
  <si>
    <t>x</t>
  </si>
  <si>
    <t xml:space="preserve">Marca: Vicking        </t>
  </si>
  <si>
    <t>NA</t>
  </si>
  <si>
    <t>Laboratorio</t>
  </si>
  <si>
    <t>Madgetech</t>
  </si>
  <si>
    <t>P93230</t>
  </si>
  <si>
    <t>N/A</t>
  </si>
  <si>
    <t>Henry Salinas</t>
  </si>
  <si>
    <t xml:space="preserve">Modelo: MASSON DIGITAL </t>
  </si>
  <si>
    <t>Catamarca</t>
  </si>
  <si>
    <t>Modelo</t>
  </si>
  <si>
    <t>Fecha Ult. Calibración</t>
  </si>
  <si>
    <t>Termómetro</t>
  </si>
  <si>
    <t>Analizador SE</t>
  </si>
  <si>
    <t>Fluke</t>
  </si>
  <si>
    <t>ESA620</t>
  </si>
  <si>
    <t>OctTemp 2000</t>
  </si>
  <si>
    <t>IC-SM-CAT-LAB-01</t>
  </si>
  <si>
    <t>Equipo: BAN-26355</t>
  </si>
  <si>
    <t>N° serie: 26355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</si>
</sst>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6"/>
      <name val="Arial"/>
      <family val="2"/>
    </font>
    <font>
      <sz val="10"/>
      <color indexed="62"/>
      <name val="Arial"/>
      <family val="2"/>
    </font>
    <font>
      <sz val="6"/>
      <color indexed="62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dashed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ashed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dashed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dashed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dashed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dashed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dashed">
        <color indexed="64"/>
      </diagonal>
    </border>
  </borders>
  <cellStyleXfs count="1">
    <xf numFmtId="0" fontId="0" fillId="0" borderId="0"/>
  </cellStyleXfs>
  <cellXfs count="192">
    <xf numFmtId="0" fontId="0" fillId="0" borderId="0" xfId="0"/>
    <xf numFmtId="0" fontId="6" fillId="0" borderId="0" xfId="0" applyFont="1" applyBorder="1" applyAlignment="1" applyProtection="1">
      <alignment wrapText="1"/>
      <protection locked="0"/>
    </xf>
    <xf numFmtId="0" fontId="1" fillId="0" borderId="10" xfId="0" applyFont="1" applyBorder="1" applyAlignment="1" applyProtection="1">
      <alignment wrapText="1"/>
      <protection locked="0"/>
    </xf>
    <xf numFmtId="0" fontId="1" fillId="0" borderId="11" xfId="0" applyFont="1" applyBorder="1" applyAlignment="1" applyProtection="1">
      <alignment wrapText="1"/>
      <protection locked="0"/>
    </xf>
    <xf numFmtId="0" fontId="1" fillId="0" borderId="12" xfId="0" applyFont="1" applyBorder="1" applyAlignment="1" applyProtection="1">
      <alignment wrapText="1"/>
      <protection locked="0"/>
    </xf>
    <xf numFmtId="0" fontId="1" fillId="0" borderId="13" xfId="0" applyFont="1" applyBorder="1" applyAlignment="1" applyProtection="1">
      <alignment wrapText="1"/>
      <protection locked="0"/>
    </xf>
    <xf numFmtId="0" fontId="3" fillId="0" borderId="14" xfId="0" applyFont="1" applyBorder="1" applyAlignment="1" applyProtection="1">
      <alignment wrapText="1"/>
      <protection locked="0"/>
    </xf>
    <xf numFmtId="0" fontId="3" fillId="0" borderId="15" xfId="0" applyFont="1" applyBorder="1" applyAlignment="1" applyProtection="1">
      <alignment wrapText="1"/>
      <protection locked="0"/>
    </xf>
    <xf numFmtId="0" fontId="2" fillId="0" borderId="19" xfId="0" applyFont="1" applyBorder="1" applyAlignment="1" applyProtection="1">
      <alignment horizontal="left" wrapText="1"/>
      <protection locked="0"/>
    </xf>
    <xf numFmtId="17" fontId="2" fillId="0" borderId="20" xfId="0" applyNumberFormat="1" applyFont="1" applyBorder="1" applyAlignment="1" applyProtection="1">
      <alignment horizontal="left" wrapText="1"/>
      <protection locked="0"/>
    </xf>
    <xf numFmtId="0" fontId="6" fillId="0" borderId="0" xfId="0" applyFont="1"/>
    <xf numFmtId="0" fontId="9" fillId="0" borderId="0" xfId="0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>
      <alignment horizontal="center" vertical="center" wrapText="1"/>
    </xf>
    <xf numFmtId="0" fontId="6" fillId="0" borderId="34" xfId="0" applyFont="1" applyBorder="1" applyAlignment="1" applyProtection="1">
      <alignment horizontal="center" wrapText="1"/>
      <protection locked="0"/>
    </xf>
    <xf numFmtId="0" fontId="6" fillId="0" borderId="7" xfId="0" applyFont="1" applyBorder="1" applyAlignment="1" applyProtection="1">
      <alignment horizontal="center" wrapText="1"/>
      <protection locked="0"/>
    </xf>
    <xf numFmtId="0" fontId="6" fillId="0" borderId="8" xfId="0" applyFont="1" applyBorder="1" applyAlignment="1" applyProtection="1">
      <alignment horizontal="center" wrapText="1"/>
      <protection locked="0"/>
    </xf>
    <xf numFmtId="0" fontId="6" fillId="3" borderId="42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3" fillId="2" borderId="36" xfId="0" applyFont="1" applyFill="1" applyBorder="1" applyAlignment="1" applyProtection="1">
      <alignment horizontal="center" wrapText="1"/>
      <protection locked="0"/>
    </xf>
    <xf numFmtId="0" fontId="3" fillId="2" borderId="23" xfId="0" applyFont="1" applyFill="1" applyBorder="1" applyAlignment="1" applyProtection="1">
      <alignment horizontal="center" wrapText="1"/>
      <protection locked="0"/>
    </xf>
    <xf numFmtId="0" fontId="5" fillId="0" borderId="0" xfId="0" applyFont="1" applyFill="1" applyBorder="1" applyAlignment="1" applyProtection="1">
      <alignment horizontal="center" wrapText="1"/>
      <protection locked="0"/>
    </xf>
    <xf numFmtId="0" fontId="5" fillId="0" borderId="27" xfId="0" applyFont="1" applyBorder="1" applyAlignment="1">
      <alignment horizontal="center" wrapText="1"/>
    </xf>
    <xf numFmtId="0" fontId="5" fillId="0" borderId="21" xfId="0" applyFont="1" applyBorder="1" applyAlignment="1">
      <alignment horizontal="center" wrapText="1"/>
    </xf>
    <xf numFmtId="0" fontId="6" fillId="0" borderId="0" xfId="0" applyFont="1" applyBorder="1" applyAlignment="1" applyProtection="1">
      <alignment horizontal="center" wrapText="1"/>
      <protection locked="0"/>
    </xf>
    <xf numFmtId="0" fontId="5" fillId="0" borderId="17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3" fillId="6" borderId="0" xfId="0" applyFont="1" applyFill="1" applyBorder="1" applyAlignment="1" applyProtection="1">
      <alignment wrapText="1"/>
      <protection locked="0"/>
    </xf>
    <xf numFmtId="0" fontId="3" fillId="2" borderId="41" xfId="0" applyFont="1" applyFill="1" applyBorder="1" applyAlignment="1">
      <alignment horizontal="center" wrapText="1"/>
    </xf>
    <xf numFmtId="0" fontId="6" fillId="2" borderId="1" xfId="0" applyNumberFormat="1" applyFont="1" applyFill="1" applyBorder="1" applyAlignment="1" applyProtection="1">
      <alignment horizontal="center" wrapText="1"/>
      <protection locked="0"/>
    </xf>
    <xf numFmtId="0" fontId="6" fillId="0" borderId="1" xfId="0" applyFont="1" applyBorder="1" applyAlignment="1" applyProtection="1">
      <alignment horizontal="center" wrapText="1"/>
      <protection locked="0"/>
    </xf>
    <xf numFmtId="0" fontId="6" fillId="2" borderId="2" xfId="0" applyNumberFormat="1" applyFont="1" applyFill="1" applyBorder="1" applyAlignment="1" applyProtection="1">
      <alignment horizontal="center" wrapText="1"/>
      <protection locked="0"/>
    </xf>
    <xf numFmtId="0" fontId="6" fillId="0" borderId="2" xfId="0" applyFont="1" applyBorder="1" applyAlignment="1" applyProtection="1">
      <alignment horizontal="center" wrapText="1"/>
      <protection locked="0"/>
    </xf>
    <xf numFmtId="0" fontId="6" fillId="2" borderId="3" xfId="0" applyNumberFormat="1" applyFont="1" applyFill="1" applyBorder="1" applyAlignment="1" applyProtection="1">
      <alignment horizontal="center" wrapText="1"/>
      <protection locked="0"/>
    </xf>
    <xf numFmtId="0" fontId="6" fillId="0" borderId="3" xfId="0" applyFont="1" applyBorder="1" applyAlignment="1" applyProtection="1">
      <alignment horizontal="center" wrapText="1"/>
      <protection locked="0"/>
    </xf>
    <xf numFmtId="0" fontId="6" fillId="0" borderId="9" xfId="0" applyFont="1" applyBorder="1" applyAlignment="1" applyProtection="1">
      <alignment horizontal="center" wrapText="1"/>
      <protection locked="0"/>
    </xf>
    <xf numFmtId="0" fontId="5" fillId="0" borderId="0" xfId="0" applyFont="1" applyBorder="1" applyAlignment="1" applyProtection="1">
      <alignment horizontal="left" vertical="center" wrapText="1"/>
      <protection locked="0"/>
    </xf>
    <xf numFmtId="0" fontId="0" fillId="3" borderId="46" xfId="0" applyFill="1" applyBorder="1" applyAlignment="1" applyProtection="1">
      <alignment wrapText="1"/>
      <protection locked="0"/>
    </xf>
    <xf numFmtId="0" fontId="6" fillId="0" borderId="35" xfId="0" applyFont="1" applyBorder="1" applyAlignment="1" applyProtection="1">
      <alignment horizontal="center" wrapText="1"/>
      <protection locked="0"/>
    </xf>
    <xf numFmtId="0" fontId="6" fillId="0" borderId="20" xfId="0" applyFont="1" applyBorder="1" applyAlignment="1" applyProtection="1">
      <alignment horizontal="center" wrapText="1"/>
      <protection locked="0"/>
    </xf>
    <xf numFmtId="0" fontId="0" fillId="2" borderId="38" xfId="0" applyNumberFormat="1" applyFill="1" applyBorder="1" applyAlignment="1" applyProtection="1">
      <alignment horizontal="center" vertical="center" wrapText="1"/>
      <protection locked="0"/>
    </xf>
    <xf numFmtId="0" fontId="6" fillId="3" borderId="43" xfId="0" applyFont="1" applyFill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wrapText="1"/>
      <protection locked="0"/>
    </xf>
    <xf numFmtId="0" fontId="6" fillId="0" borderId="24" xfId="0" applyFont="1" applyBorder="1" applyAlignment="1" applyProtection="1">
      <alignment horizontal="center" wrapText="1"/>
      <protection locked="0"/>
    </xf>
    <xf numFmtId="0" fontId="6" fillId="0" borderId="5" xfId="0" applyFont="1" applyBorder="1" applyAlignment="1" applyProtection="1">
      <alignment horizontal="center" wrapText="1"/>
      <protection locked="0"/>
    </xf>
    <xf numFmtId="0" fontId="6" fillId="0" borderId="0" xfId="0" applyNumberFormat="1" applyFont="1" applyFill="1" applyBorder="1" applyAlignment="1" applyProtection="1">
      <alignment horizontal="center" wrapText="1"/>
      <protection locked="0"/>
    </xf>
    <xf numFmtId="0" fontId="5" fillId="0" borderId="0" xfId="0" applyFont="1" applyBorder="1" applyAlignment="1" applyProtection="1">
      <alignment wrapText="1"/>
      <protection locked="0"/>
    </xf>
    <xf numFmtId="0" fontId="0" fillId="0" borderId="35" xfId="0" applyBorder="1" applyAlignment="1">
      <alignment wrapText="1"/>
    </xf>
    <xf numFmtId="0" fontId="0" fillId="0" borderId="35" xfId="0" applyBorder="1" applyAlignment="1" applyProtection="1">
      <alignment horizontal="center" wrapText="1"/>
      <protection locked="0"/>
    </xf>
    <xf numFmtId="0" fontId="0" fillId="0" borderId="24" xfId="0" applyBorder="1" applyAlignment="1" applyProtection="1">
      <alignment horizont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6" fillId="2" borderId="26" xfId="0" applyNumberFormat="1" applyFont="1" applyFill="1" applyBorder="1" applyAlignment="1" applyProtection="1">
      <alignment horizontal="center" wrapText="1"/>
      <protection locked="0"/>
    </xf>
    <xf numFmtId="0" fontId="6" fillId="2" borderId="28" xfId="0" applyNumberFormat="1" applyFont="1" applyFill="1" applyBorder="1" applyAlignment="1" applyProtection="1">
      <alignment horizontal="center" wrapText="1"/>
      <protection locked="0"/>
    </xf>
    <xf numFmtId="0" fontId="6" fillId="2" borderId="39" xfId="0" applyNumberFormat="1" applyFont="1" applyFill="1" applyBorder="1" applyAlignment="1" applyProtection="1">
      <alignment horizontal="center" wrapText="1"/>
      <protection locked="0"/>
    </xf>
    <xf numFmtId="0" fontId="0" fillId="0" borderId="49" xfId="0" applyBorder="1" applyAlignment="1">
      <alignment wrapText="1"/>
    </xf>
    <xf numFmtId="0" fontId="6" fillId="2" borderId="50" xfId="0" applyNumberFormat="1" applyFont="1" applyFill="1" applyBorder="1" applyAlignment="1" applyProtection="1">
      <alignment horizontal="center" wrapText="1"/>
      <protection locked="0"/>
    </xf>
    <xf numFmtId="0" fontId="0" fillId="3" borderId="51" xfId="0" applyFill="1" applyBorder="1" applyAlignment="1" applyProtection="1">
      <alignment wrapText="1"/>
      <protection locked="0"/>
    </xf>
    <xf numFmtId="0" fontId="3" fillId="2" borderId="36" xfId="0" applyNumberFormat="1" applyFont="1" applyFill="1" applyBorder="1" applyAlignment="1" applyProtection="1">
      <alignment horizontal="center" wrapText="1"/>
      <protection locked="0"/>
    </xf>
    <xf numFmtId="0" fontId="0" fillId="2" borderId="38" xfId="0" applyNumberFormat="1" applyFill="1" applyBorder="1" applyAlignment="1" applyProtection="1">
      <alignment horizontal="center" wrapText="1"/>
      <protection locked="0"/>
    </xf>
    <xf numFmtId="0" fontId="0" fillId="2" borderId="28" xfId="0" applyNumberFormat="1" applyFill="1" applyBorder="1" applyAlignment="1" applyProtection="1">
      <alignment horizontal="center" wrapText="1"/>
      <protection locked="0"/>
    </xf>
    <xf numFmtId="0" fontId="0" fillId="2" borderId="39" xfId="0" applyNumberFormat="1" applyFill="1" applyBorder="1" applyAlignment="1" applyProtection="1">
      <alignment horizontal="center" wrapText="1"/>
      <protection locked="0"/>
    </xf>
    <xf numFmtId="0" fontId="0" fillId="2" borderId="50" xfId="0" applyNumberFormat="1" applyFill="1" applyBorder="1" applyAlignment="1" applyProtection="1">
      <alignment horizontal="center" wrapText="1"/>
      <protection locked="0"/>
    </xf>
    <xf numFmtId="0" fontId="0" fillId="3" borderId="52" xfId="0" applyFill="1" applyBorder="1" applyAlignment="1" applyProtection="1">
      <alignment wrapText="1"/>
      <protection locked="0"/>
    </xf>
    <xf numFmtId="0" fontId="0" fillId="3" borderId="53" xfId="0" applyFill="1" applyBorder="1" applyAlignment="1" applyProtection="1">
      <alignment wrapText="1"/>
      <protection locked="0"/>
    </xf>
    <xf numFmtId="0" fontId="0" fillId="3" borderId="54" xfId="0" applyFill="1" applyBorder="1" applyAlignment="1" applyProtection="1">
      <alignment wrapText="1"/>
      <protection locked="0"/>
    </xf>
    <xf numFmtId="0" fontId="6" fillId="0" borderId="6" xfId="0" applyFont="1" applyBorder="1" applyAlignment="1" applyProtection="1">
      <alignment horizontal="center" wrapText="1"/>
      <protection locked="0"/>
    </xf>
    <xf numFmtId="0" fontId="6" fillId="0" borderId="49" xfId="0" applyFont="1" applyBorder="1" applyAlignment="1" applyProtection="1">
      <alignment horizontal="center" wrapText="1"/>
      <protection locked="0"/>
    </xf>
    <xf numFmtId="0" fontId="0" fillId="3" borderId="56" xfId="0" applyFill="1" applyBorder="1" applyAlignment="1" applyProtection="1">
      <alignment wrapText="1"/>
      <protection locked="0"/>
    </xf>
    <xf numFmtId="0" fontId="6" fillId="0" borderId="34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0" fillId="3" borderId="57" xfId="0" applyFill="1" applyBorder="1" applyAlignment="1" applyProtection="1">
      <alignment wrapText="1"/>
      <protection locked="0"/>
    </xf>
    <xf numFmtId="0" fontId="0" fillId="3" borderId="58" xfId="0" applyFill="1" applyBorder="1" applyAlignment="1" applyProtection="1">
      <alignment wrapText="1"/>
      <protection locked="0"/>
    </xf>
    <xf numFmtId="0" fontId="3" fillId="3" borderId="16" xfId="0" applyFont="1" applyFill="1" applyBorder="1" applyAlignment="1" applyProtection="1">
      <alignment horizontal="center"/>
      <protection locked="0"/>
    </xf>
    <xf numFmtId="0" fontId="3" fillId="3" borderId="17" xfId="0" applyFont="1" applyFill="1" applyBorder="1" applyAlignment="1" applyProtection="1">
      <alignment horizontal="center"/>
      <protection locked="0"/>
    </xf>
    <xf numFmtId="0" fontId="3" fillId="3" borderId="18" xfId="0" applyFont="1" applyFill="1" applyBorder="1" applyAlignment="1" applyProtection="1">
      <alignment horizontal="center"/>
      <protection locked="0"/>
    </xf>
    <xf numFmtId="0" fontId="6" fillId="0" borderId="6" xfId="0" applyFont="1" applyBorder="1" applyAlignment="1">
      <alignment horizontal="center" wrapText="1"/>
    </xf>
    <xf numFmtId="0" fontId="3" fillId="3" borderId="22" xfId="0" applyFont="1" applyFill="1" applyBorder="1" applyAlignment="1" applyProtection="1">
      <alignment horizontal="center" wrapText="1"/>
      <protection locked="0"/>
    </xf>
    <xf numFmtId="0" fontId="6" fillId="0" borderId="4" xfId="0" applyFont="1" applyBorder="1" applyAlignment="1" applyProtection="1">
      <alignment horizontal="center" wrapText="1"/>
      <protection locked="0"/>
    </xf>
    <xf numFmtId="0" fontId="12" fillId="0" borderId="4" xfId="0" applyFont="1" applyBorder="1" applyAlignment="1" applyProtection="1">
      <alignment horizontal="center" wrapText="1"/>
      <protection locked="0"/>
    </xf>
    <xf numFmtId="0" fontId="5" fillId="0" borderId="14" xfId="0" applyFont="1" applyBorder="1" applyAlignment="1">
      <alignment wrapText="1"/>
    </xf>
    <xf numFmtId="0" fontId="5" fillId="0" borderId="22" xfId="0" applyFont="1" applyBorder="1" applyAlignment="1">
      <alignment wrapText="1"/>
    </xf>
    <xf numFmtId="0" fontId="5" fillId="0" borderId="19" xfId="0" applyFont="1" applyBorder="1" applyAlignment="1">
      <alignment wrapText="1"/>
    </xf>
    <xf numFmtId="0" fontId="5" fillId="0" borderId="30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24" xfId="0" applyFont="1" applyBorder="1" applyAlignment="1">
      <alignment wrapText="1"/>
    </xf>
    <xf numFmtId="0" fontId="3" fillId="2" borderId="40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9" xfId="0" applyFont="1" applyFill="1" applyBorder="1" applyAlignment="1" applyProtection="1">
      <alignment horizontal="center" vertical="center" wrapText="1"/>
      <protection locked="0"/>
    </xf>
    <xf numFmtId="0" fontId="3" fillId="2" borderId="20" xfId="0" applyFont="1" applyFill="1" applyBorder="1" applyAlignment="1" applyProtection="1">
      <alignment horizontal="center" vertical="center" wrapText="1"/>
      <protection locked="0"/>
    </xf>
    <xf numFmtId="0" fontId="3" fillId="2" borderId="24" xfId="0" applyFont="1" applyFill="1" applyBorder="1" applyAlignment="1" applyProtection="1">
      <alignment horizontal="center" vertical="center" wrapText="1"/>
      <protection locked="0"/>
    </xf>
    <xf numFmtId="0" fontId="3" fillId="5" borderId="15" xfId="0" applyFont="1" applyFill="1" applyBorder="1" applyAlignment="1" applyProtection="1">
      <alignment horizontal="center" wrapText="1"/>
      <protection locked="0"/>
    </xf>
    <xf numFmtId="0" fontId="3" fillId="5" borderId="5" xfId="0" applyFont="1" applyFill="1" applyBorder="1" applyAlignment="1" applyProtection="1">
      <alignment horizontal="center" wrapText="1"/>
      <protection locked="0"/>
    </xf>
    <xf numFmtId="0" fontId="3" fillId="5" borderId="20" xfId="0" applyFont="1" applyFill="1" applyBorder="1" applyAlignment="1" applyProtection="1">
      <alignment horizontal="center" wrapText="1"/>
      <protection locked="0"/>
    </xf>
    <xf numFmtId="0" fontId="3" fillId="2" borderId="14" xfId="0" applyFont="1" applyFill="1" applyBorder="1" applyAlignment="1" applyProtection="1">
      <alignment horizontal="center" vertical="center" wrapText="1"/>
      <protection locked="0"/>
    </xf>
    <xf numFmtId="0" fontId="3" fillId="2" borderId="22" xfId="0" applyFont="1" applyFill="1" applyBorder="1" applyAlignment="1" applyProtection="1">
      <alignment horizontal="center" vertical="center" wrapText="1"/>
      <protection locked="0"/>
    </xf>
    <xf numFmtId="0" fontId="3" fillId="2" borderId="15" xfId="0" applyFont="1" applyFill="1" applyBorder="1" applyAlignment="1" applyProtection="1">
      <alignment horizontal="center" vertical="center" wrapText="1"/>
      <protection locked="0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5" fillId="0" borderId="48" xfId="0" applyFont="1" applyBorder="1" applyAlignment="1" applyProtection="1">
      <alignment horizontal="right" wrapText="1"/>
      <protection locked="0"/>
    </xf>
    <xf numFmtId="0" fontId="5" fillId="0" borderId="34" xfId="0" applyFont="1" applyBorder="1" applyAlignment="1" applyProtection="1">
      <alignment horizontal="right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3" fillId="3" borderId="30" xfId="0" applyFont="1" applyFill="1" applyBorder="1" applyAlignment="1" applyProtection="1">
      <alignment wrapText="1"/>
      <protection locked="0"/>
    </xf>
    <xf numFmtId="0" fontId="3" fillId="3" borderId="4" xfId="0" applyFont="1" applyFill="1" applyBorder="1" applyAlignment="1" applyProtection="1">
      <alignment wrapText="1"/>
      <protection locked="0"/>
    </xf>
    <xf numFmtId="0" fontId="5" fillId="0" borderId="30" xfId="0" applyFont="1" applyBorder="1" applyAlignment="1" applyProtection="1">
      <alignment horizontal="right" wrapText="1"/>
      <protection locked="0"/>
    </xf>
    <xf numFmtId="0" fontId="10" fillId="0" borderId="4" xfId="0" applyFont="1" applyBorder="1" applyAlignment="1" applyProtection="1">
      <alignment horizontal="right" wrapText="1"/>
      <protection locked="0"/>
    </xf>
    <xf numFmtId="0" fontId="5" fillId="0" borderId="15" xfId="0" applyFont="1" applyBorder="1" applyAlignment="1" applyProtection="1">
      <alignment horizontal="right" wrapText="1"/>
      <protection locked="0"/>
    </xf>
    <xf numFmtId="0" fontId="5" fillId="0" borderId="5" xfId="0" applyFont="1" applyBorder="1" applyAlignment="1" applyProtection="1">
      <alignment horizontal="right" wrapText="1"/>
      <protection locked="0"/>
    </xf>
    <xf numFmtId="0" fontId="6" fillId="0" borderId="30" xfId="0" applyFont="1" applyBorder="1" applyAlignment="1" applyProtection="1">
      <alignment horizontal="center" wrapText="1"/>
      <protection locked="0"/>
    </xf>
    <xf numFmtId="0" fontId="6" fillId="0" borderId="4" xfId="0" applyFont="1" applyBorder="1" applyAlignment="1" applyProtection="1">
      <alignment horizontal="center" wrapText="1"/>
      <protection locked="0"/>
    </xf>
    <xf numFmtId="14" fontId="6" fillId="0" borderId="4" xfId="0" applyNumberFormat="1" applyFont="1" applyBorder="1" applyAlignment="1" applyProtection="1">
      <alignment horizontal="center" wrapText="1"/>
      <protection locked="0"/>
    </xf>
    <xf numFmtId="0" fontId="6" fillId="0" borderId="24" xfId="0" applyFont="1" applyBorder="1" applyAlignment="1" applyProtection="1">
      <alignment horizontal="center" wrapText="1"/>
      <protection locked="0"/>
    </xf>
    <xf numFmtId="0" fontId="3" fillId="3" borderId="45" xfId="0" applyFont="1" applyFill="1" applyBorder="1" applyAlignment="1" applyProtection="1">
      <alignment vertical="center" wrapText="1"/>
      <protection locked="0"/>
    </xf>
    <xf numFmtId="0" fontId="3" fillId="3" borderId="42" xfId="0" applyFont="1" applyFill="1" applyBorder="1" applyAlignment="1" applyProtection="1">
      <alignment vertical="center" wrapText="1"/>
      <protection locked="0"/>
    </xf>
    <xf numFmtId="0" fontId="3" fillId="2" borderId="38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39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>
      <alignment horizontal="center" wrapText="1"/>
    </xf>
    <xf numFmtId="0" fontId="0" fillId="0" borderId="49" xfId="0" applyBorder="1" applyAlignment="1">
      <alignment horizontal="center" wrapText="1"/>
    </xf>
    <xf numFmtId="0" fontId="3" fillId="2" borderId="36" xfId="0" applyFont="1" applyFill="1" applyBorder="1" applyAlignment="1" applyProtection="1">
      <alignment horizontal="center" wrapText="1"/>
      <protection locked="0"/>
    </xf>
    <xf numFmtId="0" fontId="3" fillId="2" borderId="37" xfId="0" applyFont="1" applyFill="1" applyBorder="1" applyAlignment="1" applyProtection="1">
      <alignment horizontal="center" wrapText="1"/>
      <protection locked="0"/>
    </xf>
    <xf numFmtId="0" fontId="3" fillId="2" borderId="44" xfId="0" applyFont="1" applyFill="1" applyBorder="1" applyAlignment="1" applyProtection="1">
      <alignment horizontal="center" wrapText="1"/>
      <protection locked="0"/>
    </xf>
    <xf numFmtId="0" fontId="5" fillId="0" borderId="55" xfId="0" applyFont="1" applyBorder="1" applyAlignment="1" applyProtection="1">
      <alignment horizontal="right" wrapText="1"/>
      <protection locked="0"/>
    </xf>
    <xf numFmtId="0" fontId="5" fillId="0" borderId="6" xfId="0" applyFont="1" applyBorder="1" applyAlignment="1" applyProtection="1">
      <alignment horizontal="right" wrapText="1"/>
      <protection locked="0"/>
    </xf>
    <xf numFmtId="0" fontId="3" fillId="3" borderId="14" xfId="0" applyFont="1" applyFill="1" applyBorder="1" applyAlignment="1" applyProtection="1">
      <alignment wrapText="1"/>
      <protection locked="0"/>
    </xf>
    <xf numFmtId="0" fontId="3" fillId="3" borderId="22" xfId="0" applyFont="1" applyFill="1" applyBorder="1" applyAlignment="1" applyProtection="1">
      <alignment wrapText="1"/>
      <protection locked="0"/>
    </xf>
    <xf numFmtId="0" fontId="3" fillId="3" borderId="45" xfId="0" applyFont="1" applyFill="1" applyBorder="1" applyAlignment="1" applyProtection="1">
      <alignment wrapText="1"/>
      <protection locked="0"/>
    </xf>
    <xf numFmtId="0" fontId="3" fillId="3" borderId="42" xfId="0" applyFont="1" applyFill="1" applyBorder="1" applyAlignment="1" applyProtection="1">
      <alignment wrapText="1"/>
      <protection locked="0"/>
    </xf>
    <xf numFmtId="0" fontId="2" fillId="4" borderId="4" xfId="0" applyFont="1" applyFill="1" applyBorder="1" applyAlignment="1" applyProtection="1">
      <alignment vertical="center"/>
      <protection locked="0"/>
    </xf>
    <xf numFmtId="0" fontId="2" fillId="4" borderId="24" xfId="0" applyFont="1" applyFill="1" applyBorder="1" applyAlignment="1" applyProtection="1">
      <alignment vertical="center"/>
      <protection locked="0"/>
    </xf>
    <xf numFmtId="0" fontId="2" fillId="4" borderId="5" xfId="0" applyFont="1" applyFill="1" applyBorder="1" applyAlignment="1" applyProtection="1">
      <alignment vertical="center"/>
      <protection locked="0"/>
    </xf>
    <xf numFmtId="0" fontId="2" fillId="4" borderId="20" xfId="0" applyFont="1" applyFill="1" applyBorder="1" applyAlignment="1" applyProtection="1">
      <alignment vertical="center"/>
      <protection locked="0"/>
    </xf>
    <xf numFmtId="0" fontId="10" fillId="0" borderId="48" xfId="0" applyFont="1" applyBorder="1" applyAlignment="1" applyProtection="1">
      <alignment horizontal="right" wrapText="1"/>
      <protection locked="0"/>
    </xf>
    <xf numFmtId="0" fontId="10" fillId="0" borderId="34" xfId="0" applyFont="1" applyBorder="1" applyAlignment="1" applyProtection="1">
      <alignment horizontal="right" wrapText="1"/>
      <protection locked="0"/>
    </xf>
    <xf numFmtId="0" fontId="5" fillId="0" borderId="4" xfId="0" applyFont="1" applyBorder="1" applyAlignment="1" applyProtection="1">
      <alignment horizontal="right" wrapText="1"/>
      <protection locked="0"/>
    </xf>
    <xf numFmtId="0" fontId="5" fillId="0" borderId="28" xfId="0" applyFont="1" applyBorder="1" applyAlignment="1" applyProtection="1">
      <alignment horizontal="left" wrapText="1"/>
      <protection locked="0"/>
    </xf>
    <xf numFmtId="0" fontId="5" fillId="0" borderId="17" xfId="0" applyFont="1" applyBorder="1" applyAlignment="1" applyProtection="1">
      <alignment horizontal="left" wrapText="1"/>
      <protection locked="0"/>
    </xf>
    <xf numFmtId="0" fontId="5" fillId="0" borderId="8" xfId="0" applyFont="1" applyBorder="1" applyAlignment="1" applyProtection="1">
      <alignment horizontal="left" wrapText="1"/>
      <protection locked="0"/>
    </xf>
    <xf numFmtId="0" fontId="5" fillId="0" borderId="39" xfId="0" applyFont="1" applyBorder="1" applyAlignment="1" applyProtection="1">
      <alignment horizontal="left" wrapText="1"/>
      <protection locked="0"/>
    </xf>
    <xf numFmtId="0" fontId="5" fillId="0" borderId="18" xfId="0" applyFont="1" applyBorder="1" applyAlignment="1" applyProtection="1">
      <alignment horizontal="left" wrapText="1"/>
      <protection locked="0"/>
    </xf>
    <xf numFmtId="0" fontId="5" fillId="0" borderId="9" xfId="0" applyFont="1" applyBorder="1" applyAlignment="1" applyProtection="1">
      <alignment horizontal="left" wrapText="1"/>
      <protection locked="0"/>
    </xf>
    <xf numFmtId="0" fontId="5" fillId="0" borderId="33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3" fillId="2" borderId="31" xfId="0" applyFont="1" applyFill="1" applyBorder="1" applyAlignment="1" applyProtection="1">
      <alignment horizontal="center" wrapText="1"/>
      <protection locked="0"/>
    </xf>
    <xf numFmtId="0" fontId="3" fillId="2" borderId="33" xfId="0" applyFont="1" applyFill="1" applyBorder="1" applyAlignment="1" applyProtection="1">
      <alignment horizontal="center" wrapText="1"/>
      <protection locked="0"/>
    </xf>
    <xf numFmtId="0" fontId="3" fillId="2" borderId="32" xfId="0" applyFont="1" applyFill="1" applyBorder="1" applyAlignment="1" applyProtection="1">
      <alignment horizontal="center" wrapText="1"/>
      <protection locked="0"/>
    </xf>
    <xf numFmtId="0" fontId="5" fillId="0" borderId="38" xfId="0" applyFont="1" applyBorder="1" applyAlignment="1" applyProtection="1">
      <alignment horizontal="left" wrapText="1"/>
      <protection locked="0"/>
    </xf>
    <xf numFmtId="0" fontId="5" fillId="0" borderId="16" xfId="0" applyFont="1" applyBorder="1" applyAlignment="1" applyProtection="1">
      <alignment horizontal="left" wrapText="1"/>
      <protection locked="0"/>
    </xf>
    <xf numFmtId="0" fontId="5" fillId="0" borderId="7" xfId="0" applyFont="1" applyBorder="1" applyAlignment="1" applyProtection="1">
      <alignment horizontal="left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5" fillId="0" borderId="39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3" fillId="2" borderId="10" xfId="0" applyFont="1" applyFill="1" applyBorder="1" applyAlignment="1" applyProtection="1">
      <alignment horizontal="center" wrapText="1"/>
      <protection locked="0"/>
    </xf>
    <xf numFmtId="0" fontId="3" fillId="2" borderId="25" xfId="0" applyFont="1" applyFill="1" applyBorder="1" applyAlignment="1" applyProtection="1">
      <alignment horizontal="center" wrapText="1"/>
      <protection locked="0"/>
    </xf>
    <xf numFmtId="0" fontId="3" fillId="2" borderId="30" xfId="0" applyFont="1" applyFill="1" applyBorder="1" applyAlignment="1" applyProtection="1">
      <alignment horizontal="center" vertical="center" wrapText="1"/>
      <protection locked="0"/>
    </xf>
    <xf numFmtId="0" fontId="3" fillId="2" borderId="14" xfId="0" applyFont="1" applyFill="1" applyBorder="1" applyAlignment="1" applyProtection="1">
      <alignment horizontal="center" wrapText="1"/>
      <protection locked="0"/>
    </xf>
    <xf numFmtId="0" fontId="3" fillId="2" borderId="22" xfId="0" applyFont="1" applyFill="1" applyBorder="1" applyAlignment="1" applyProtection="1">
      <alignment horizontal="center" wrapText="1"/>
      <protection locked="0"/>
    </xf>
    <xf numFmtId="0" fontId="3" fillId="2" borderId="19" xfId="0" applyFont="1" applyFill="1" applyBorder="1" applyAlignment="1" applyProtection="1">
      <alignment horizontal="center" wrapText="1"/>
      <protection locked="0"/>
    </xf>
    <xf numFmtId="0" fontId="3" fillId="3" borderId="15" xfId="0" applyFont="1" applyFill="1" applyBorder="1" applyAlignment="1" applyProtection="1">
      <alignment wrapText="1"/>
      <protection locked="0"/>
    </xf>
    <xf numFmtId="0" fontId="3" fillId="3" borderId="5" xfId="0" applyFont="1" applyFill="1" applyBorder="1" applyAlignment="1" applyProtection="1">
      <alignment wrapText="1"/>
      <protection locked="0"/>
    </xf>
    <xf numFmtId="49" fontId="1" fillId="0" borderId="10" xfId="0" applyNumberFormat="1" applyFont="1" applyBorder="1" applyAlignment="1" applyProtection="1">
      <alignment horizontal="center" wrapText="1"/>
      <protection locked="0"/>
    </xf>
    <xf numFmtId="49" fontId="1" fillId="0" borderId="25" xfId="0" applyNumberFormat="1" applyFont="1" applyBorder="1" applyAlignment="1" applyProtection="1">
      <alignment horizontal="center" wrapText="1"/>
      <protection locked="0"/>
    </xf>
    <xf numFmtId="49" fontId="1" fillId="0" borderId="11" xfId="0" applyNumberFormat="1" applyFont="1" applyBorder="1" applyAlignment="1" applyProtection="1">
      <alignment horizontal="center" wrapText="1"/>
      <protection locked="0"/>
    </xf>
    <xf numFmtId="49" fontId="1" fillId="0" borderId="12" xfId="0" applyNumberFormat="1" applyFont="1" applyBorder="1" applyAlignment="1" applyProtection="1">
      <alignment horizontal="center" wrapText="1"/>
      <protection locked="0"/>
    </xf>
    <xf numFmtId="49" fontId="1" fillId="0" borderId="0" xfId="0" applyNumberFormat="1" applyFont="1" applyBorder="1" applyAlignment="1" applyProtection="1">
      <alignment horizontal="center" wrapText="1"/>
      <protection locked="0"/>
    </xf>
    <xf numFmtId="49" fontId="1" fillId="0" borderId="13" xfId="0" applyNumberFormat="1" applyFont="1" applyBorder="1" applyAlignment="1" applyProtection="1">
      <alignment horizontal="center" wrapText="1"/>
      <protection locked="0"/>
    </xf>
    <xf numFmtId="0" fontId="6" fillId="0" borderId="39" xfId="0" applyFont="1" applyFill="1" applyBorder="1" applyAlignment="1" applyProtection="1">
      <alignment horizontal="center"/>
      <protection locked="0"/>
    </xf>
    <xf numFmtId="0" fontId="6" fillId="0" borderId="18" xfId="0" applyFont="1" applyFill="1" applyBorder="1" applyAlignment="1" applyProtection="1">
      <alignment horizontal="center"/>
      <protection locked="0"/>
    </xf>
    <xf numFmtId="0" fontId="6" fillId="0" borderId="9" xfId="0" applyFont="1" applyFill="1" applyBorder="1" applyAlignment="1" applyProtection="1">
      <alignment horizontal="center"/>
      <protection locked="0"/>
    </xf>
    <xf numFmtId="0" fontId="3" fillId="3" borderId="14" xfId="0" applyFont="1" applyFill="1" applyBorder="1" applyAlignment="1" applyProtection="1">
      <alignment horizontal="center" wrapText="1"/>
      <protection locked="0"/>
    </xf>
    <xf numFmtId="0" fontId="3" fillId="3" borderId="22" xfId="0" applyFont="1" applyFill="1" applyBorder="1" applyAlignment="1" applyProtection="1">
      <alignment horizontal="center" wrapText="1"/>
      <protection locked="0"/>
    </xf>
    <xf numFmtId="0" fontId="3" fillId="3" borderId="29" xfId="0" applyFont="1" applyFill="1" applyBorder="1" applyAlignment="1" applyProtection="1">
      <alignment horizontal="center" wrapText="1"/>
      <protection locked="0"/>
    </xf>
    <xf numFmtId="0" fontId="3" fillId="3" borderId="47" xfId="0" applyFont="1" applyFill="1" applyBorder="1" applyAlignment="1" applyProtection="1">
      <alignment horizont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 wrapText="1"/>
      <protection locked="0"/>
    </xf>
    <xf numFmtId="0" fontId="8" fillId="0" borderId="31" xfId="0" applyFont="1" applyBorder="1" applyAlignment="1" applyProtection="1">
      <alignment horizontal="center" vertical="center" wrapText="1"/>
      <protection locked="0"/>
    </xf>
    <xf numFmtId="0" fontId="8" fillId="0" borderId="32" xfId="0" applyFont="1" applyBorder="1" applyAlignment="1" applyProtection="1">
      <alignment horizontal="center" vertical="center" wrapText="1"/>
      <protection locked="0"/>
    </xf>
    <xf numFmtId="49" fontId="1" fillId="0" borderId="33" xfId="0" applyNumberFormat="1" applyFont="1" applyBorder="1" applyAlignment="1" applyProtection="1">
      <alignment horizontal="center" wrapText="1"/>
      <protection locked="0"/>
    </xf>
    <xf numFmtId="0" fontId="6" fillId="0" borderId="38" xfId="0" applyFont="1" applyBorder="1" applyAlignment="1" applyProtection="1">
      <alignment horizontal="center"/>
      <protection locked="0"/>
    </xf>
    <xf numFmtId="0" fontId="6" fillId="0" borderId="16" xfId="0" applyFont="1" applyBorder="1" applyAlignment="1" applyProtection="1">
      <alignment horizontal="center"/>
      <protection locked="0"/>
    </xf>
    <xf numFmtId="0" fontId="6" fillId="0" borderId="7" xfId="0" applyFont="1" applyBorder="1" applyAlignment="1" applyProtection="1">
      <alignment horizontal="center"/>
      <protection locked="0"/>
    </xf>
    <xf numFmtId="0" fontId="6" fillId="0" borderId="28" xfId="0" applyFont="1" applyBorder="1" applyAlignment="1" applyProtection="1">
      <alignment horizontal="center"/>
      <protection locked="0"/>
    </xf>
    <xf numFmtId="0" fontId="6" fillId="0" borderId="17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14" fontId="6" fillId="0" borderId="28" xfId="0" applyNumberFormat="1" applyFont="1" applyFill="1" applyBorder="1" applyAlignment="1" applyProtection="1">
      <alignment horizontal="center"/>
      <protection locked="0"/>
    </xf>
    <xf numFmtId="14" fontId="6" fillId="0" borderId="17" xfId="0" applyNumberFormat="1" applyFont="1" applyFill="1" applyBorder="1" applyAlignment="1" applyProtection="1">
      <alignment horizontal="center"/>
      <protection locked="0"/>
    </xf>
    <xf numFmtId="14" fontId="6" fillId="0" borderId="8" xfId="0" applyNumberFormat="1" applyFont="1" applyFill="1" applyBorder="1" applyAlignment="1" applyProtection="1">
      <alignment horizontal="center"/>
      <protection locked="0"/>
    </xf>
    <xf numFmtId="0" fontId="6" fillId="0" borderId="28" xfId="0" applyFont="1" applyFill="1" applyBorder="1" applyAlignment="1" applyProtection="1">
      <alignment horizontal="center"/>
      <protection locked="0"/>
    </xf>
    <xf numFmtId="0" fontId="6" fillId="0" borderId="17" xfId="0" applyFont="1" applyFill="1" applyBorder="1" applyAlignment="1" applyProtection="1">
      <alignment horizontal="center"/>
      <protection locked="0"/>
    </xf>
    <xf numFmtId="0" fontId="6" fillId="0" borderId="8" xfId="0" applyFont="1" applyFill="1" applyBorder="1" applyAlignment="1" applyProtection="1">
      <alignment horizontal="center"/>
      <protection locked="0"/>
    </xf>
    <xf numFmtId="0" fontId="2" fillId="4" borderId="14" xfId="0" applyFont="1" applyFill="1" applyBorder="1" applyAlignment="1" applyProtection="1">
      <alignment vertical="center"/>
      <protection locked="0"/>
    </xf>
    <xf numFmtId="0" fontId="2" fillId="4" borderId="22" xfId="0" applyFont="1" applyFill="1" applyBorder="1" applyAlignment="1" applyProtection="1">
      <alignment vertical="center"/>
      <protection locked="0"/>
    </xf>
    <xf numFmtId="0" fontId="2" fillId="4" borderId="30" xfId="0" applyFont="1" applyFill="1" applyBorder="1" applyAlignment="1" applyProtection="1">
      <alignment vertical="center"/>
      <protection locked="0"/>
    </xf>
    <xf numFmtId="0" fontId="2" fillId="4" borderId="19" xfId="0" applyFont="1" applyFill="1" applyBorder="1" applyAlignment="1" applyProtection="1">
      <alignment vertical="center"/>
      <protection locked="0"/>
    </xf>
    <xf numFmtId="0" fontId="2" fillId="4" borderId="15" xfId="0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indexed="62"/>
      </font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condense val="0"/>
        <extend val="0"/>
        <color auto="1"/>
      </font>
    </dxf>
    <dxf>
      <font>
        <b val="0"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condense val="0"/>
        <extend val="0"/>
        <color auto="1"/>
      </font>
    </dxf>
    <dxf>
      <font>
        <b val="0"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7"/>
  <sheetViews>
    <sheetView tabSelected="1" topLeftCell="A37" workbookViewId="0">
      <selection activeCell="N54" sqref="M54:N54"/>
    </sheetView>
  </sheetViews>
  <sheetFormatPr baseColWidth="10" defaultRowHeight="12.75" x14ac:dyDescent="0.2"/>
  <cols>
    <col min="3" max="3" width="12.85546875" bestFit="1" customWidth="1"/>
    <col min="4" max="4" width="11.7109375" bestFit="1" customWidth="1"/>
    <col min="13" max="13" width="12.28515625" bestFit="1" customWidth="1"/>
  </cols>
  <sheetData>
    <row r="1" spans="1:11" ht="18" x14ac:dyDescent="0.25">
      <c r="A1" s="2"/>
      <c r="B1" s="3"/>
      <c r="C1" s="157" t="s">
        <v>89</v>
      </c>
      <c r="D1" s="158"/>
      <c r="E1" s="158"/>
      <c r="F1" s="158"/>
      <c r="G1" s="158"/>
      <c r="H1" s="159"/>
      <c r="I1" s="170" t="s">
        <v>90</v>
      </c>
      <c r="J1" s="171"/>
      <c r="K1" s="17"/>
    </row>
    <row r="2" spans="1:11" ht="18.75" thickBot="1" x14ac:dyDescent="0.3">
      <c r="A2" s="4"/>
      <c r="B2" s="5"/>
      <c r="C2" s="160"/>
      <c r="D2" s="161"/>
      <c r="E2" s="161"/>
      <c r="F2" s="161"/>
      <c r="G2" s="161"/>
      <c r="H2" s="162"/>
      <c r="I2" s="172"/>
      <c r="J2" s="173"/>
      <c r="K2" s="17"/>
    </row>
    <row r="3" spans="1:11" ht="18" x14ac:dyDescent="0.25">
      <c r="A3" s="4"/>
      <c r="B3" s="5"/>
      <c r="C3" s="160" t="s">
        <v>16</v>
      </c>
      <c r="D3" s="161"/>
      <c r="E3" s="161"/>
      <c r="F3" s="161"/>
      <c r="G3" s="161"/>
      <c r="H3" s="161"/>
      <c r="I3" s="6" t="s">
        <v>11</v>
      </c>
      <c r="J3" s="8" t="s">
        <v>91</v>
      </c>
      <c r="K3" s="17"/>
    </row>
    <row r="4" spans="1:11" ht="18.75" thickBot="1" x14ac:dyDescent="0.3">
      <c r="A4" s="4"/>
      <c r="B4" s="5"/>
      <c r="C4" s="160"/>
      <c r="D4" s="161"/>
      <c r="E4" s="161"/>
      <c r="F4" s="161"/>
      <c r="G4" s="174"/>
      <c r="H4" s="161"/>
      <c r="I4" s="7" t="s">
        <v>9</v>
      </c>
      <c r="J4" s="9">
        <v>41609</v>
      </c>
      <c r="K4" s="17"/>
    </row>
    <row r="5" spans="1:11" ht="12.75" customHeight="1" x14ac:dyDescent="0.2">
      <c r="A5" s="187" t="s">
        <v>115</v>
      </c>
      <c r="B5" s="188"/>
      <c r="C5" s="188"/>
      <c r="D5" s="188" t="s">
        <v>105</v>
      </c>
      <c r="E5" s="188"/>
      <c r="F5" s="190"/>
      <c r="G5" s="71" t="s">
        <v>3</v>
      </c>
      <c r="H5" s="175" t="s">
        <v>106</v>
      </c>
      <c r="I5" s="176"/>
      <c r="J5" s="177"/>
      <c r="K5" s="17"/>
    </row>
    <row r="6" spans="1:11" ht="12.75" customHeight="1" x14ac:dyDescent="0.2">
      <c r="A6" s="189"/>
      <c r="B6" s="124"/>
      <c r="C6" s="124"/>
      <c r="D6" s="124"/>
      <c r="E6" s="124"/>
      <c r="F6" s="125"/>
      <c r="G6" s="72" t="s">
        <v>4</v>
      </c>
      <c r="H6" s="178" t="s">
        <v>100</v>
      </c>
      <c r="I6" s="179"/>
      <c r="J6" s="180"/>
      <c r="K6" s="17"/>
    </row>
    <row r="7" spans="1:11" ht="12.75" customHeight="1" x14ac:dyDescent="0.2">
      <c r="A7" s="189"/>
      <c r="B7" s="124"/>
      <c r="C7" s="124"/>
      <c r="D7" s="124"/>
      <c r="E7" s="124"/>
      <c r="F7" s="125"/>
      <c r="G7" s="72" t="s">
        <v>7</v>
      </c>
      <c r="H7" s="181" t="s">
        <v>114</v>
      </c>
      <c r="I7" s="182"/>
      <c r="J7" s="183"/>
      <c r="K7" s="17"/>
    </row>
    <row r="8" spans="1:11" ht="12.75" customHeight="1" x14ac:dyDescent="0.2">
      <c r="A8" s="189" t="s">
        <v>116</v>
      </c>
      <c r="B8" s="124"/>
      <c r="C8" s="124"/>
      <c r="D8" s="124" t="s">
        <v>98</v>
      </c>
      <c r="E8" s="124"/>
      <c r="F8" s="125"/>
      <c r="G8" s="72" t="s">
        <v>5</v>
      </c>
      <c r="H8" s="181">
        <v>45728</v>
      </c>
      <c r="I8" s="182"/>
      <c r="J8" s="183"/>
      <c r="K8" s="17"/>
    </row>
    <row r="9" spans="1:11" ht="12.75" customHeight="1" x14ac:dyDescent="0.2">
      <c r="A9" s="189"/>
      <c r="B9" s="124"/>
      <c r="C9" s="124"/>
      <c r="D9" s="124"/>
      <c r="E9" s="124"/>
      <c r="F9" s="125"/>
      <c r="G9" s="72" t="s">
        <v>8</v>
      </c>
      <c r="H9" s="184">
        <v>9226500</v>
      </c>
      <c r="I9" s="185"/>
      <c r="J9" s="186"/>
      <c r="K9" s="17"/>
    </row>
    <row r="10" spans="1:11" ht="13.5" customHeight="1" thickBot="1" x14ac:dyDescent="0.25">
      <c r="A10" s="191"/>
      <c r="B10" s="126"/>
      <c r="C10" s="126"/>
      <c r="D10" s="126"/>
      <c r="E10" s="126"/>
      <c r="F10" s="127"/>
      <c r="G10" s="73" t="s">
        <v>6</v>
      </c>
      <c r="H10" s="163" t="s">
        <v>104</v>
      </c>
      <c r="I10" s="164"/>
      <c r="J10" s="165"/>
      <c r="K10" s="17"/>
    </row>
    <row r="11" spans="1:11" ht="12.75" customHeight="1" x14ac:dyDescent="0.2">
      <c r="A11" s="166" t="s">
        <v>0</v>
      </c>
      <c r="B11" s="167"/>
      <c r="C11" s="75" t="s">
        <v>1</v>
      </c>
      <c r="D11" s="75" t="s">
        <v>107</v>
      </c>
      <c r="E11" s="75" t="s">
        <v>2</v>
      </c>
      <c r="F11" s="168" t="s">
        <v>108</v>
      </c>
      <c r="G11" s="169"/>
      <c r="H11" s="1"/>
      <c r="I11" s="1"/>
      <c r="J11" s="1"/>
      <c r="K11" s="17"/>
    </row>
    <row r="12" spans="1:11" x14ac:dyDescent="0.2">
      <c r="A12" s="105" t="s">
        <v>109</v>
      </c>
      <c r="B12" s="106"/>
      <c r="C12" s="41" t="s">
        <v>101</v>
      </c>
      <c r="D12" s="77" t="s">
        <v>113</v>
      </c>
      <c r="E12" s="41" t="s">
        <v>102</v>
      </c>
      <c r="F12" s="107">
        <v>45442</v>
      </c>
      <c r="G12" s="108"/>
      <c r="H12" s="1"/>
      <c r="I12" s="1"/>
      <c r="J12" s="1"/>
      <c r="K12" s="17"/>
    </row>
    <row r="13" spans="1:11" x14ac:dyDescent="0.2">
      <c r="A13" s="105" t="s">
        <v>110</v>
      </c>
      <c r="B13" s="106"/>
      <c r="C13" s="76" t="s">
        <v>111</v>
      </c>
      <c r="D13" s="76" t="s">
        <v>112</v>
      </c>
      <c r="E13" s="76">
        <v>2982052</v>
      </c>
      <c r="F13" s="107">
        <v>45415</v>
      </c>
      <c r="G13" s="108"/>
      <c r="H13" s="1"/>
      <c r="I13" s="1"/>
      <c r="J13" s="1"/>
      <c r="K13" s="17"/>
    </row>
    <row r="14" spans="1:11" ht="13.5" thickBot="1" x14ac:dyDescent="0.25">
      <c r="A14" s="145"/>
      <c r="B14" s="145"/>
      <c r="C14" s="145"/>
      <c r="D14" s="145"/>
      <c r="E14" s="145"/>
      <c r="F14" s="145"/>
      <c r="G14" s="145"/>
      <c r="H14" s="145"/>
      <c r="I14" s="145"/>
      <c r="J14" s="145"/>
      <c r="K14" s="17"/>
    </row>
    <row r="15" spans="1:11" ht="13.5" thickBot="1" x14ac:dyDescent="0.25">
      <c r="A15" s="149" t="s">
        <v>19</v>
      </c>
      <c r="B15" s="150"/>
      <c r="C15" s="150"/>
      <c r="D15" s="150"/>
      <c r="E15" s="150"/>
      <c r="F15" s="150"/>
      <c r="G15" s="150"/>
      <c r="H15" s="18" t="s">
        <v>92</v>
      </c>
      <c r="I15" s="19" t="s">
        <v>93</v>
      </c>
      <c r="J15" s="20"/>
      <c r="K15" s="17"/>
    </row>
    <row r="16" spans="1:11" x14ac:dyDescent="0.2">
      <c r="A16" s="78" t="s">
        <v>20</v>
      </c>
      <c r="B16" s="79"/>
      <c r="C16" s="79"/>
      <c r="D16" s="79"/>
      <c r="E16" s="79"/>
      <c r="F16" s="79"/>
      <c r="G16" s="80"/>
      <c r="H16" s="21" t="s">
        <v>97</v>
      </c>
      <c r="I16" s="22"/>
      <c r="J16" s="23"/>
      <c r="K16" s="17"/>
    </row>
    <row r="17" spans="1:12" x14ac:dyDescent="0.2">
      <c r="A17" s="81" t="s">
        <v>21</v>
      </c>
      <c r="B17" s="82"/>
      <c r="C17" s="82"/>
      <c r="D17" s="82"/>
      <c r="E17" s="82"/>
      <c r="F17" s="82"/>
      <c r="G17" s="83"/>
      <c r="H17" s="24" t="s">
        <v>99</v>
      </c>
      <c r="I17" s="25"/>
      <c r="J17" s="23"/>
      <c r="K17" s="17"/>
    </row>
    <row r="18" spans="1:12" x14ac:dyDescent="0.2">
      <c r="A18" s="81" t="s">
        <v>22</v>
      </c>
      <c r="B18" s="82"/>
      <c r="C18" s="82"/>
      <c r="D18" s="82"/>
      <c r="E18" s="82"/>
      <c r="F18" s="82"/>
      <c r="G18" s="83"/>
      <c r="H18" s="24" t="s">
        <v>99</v>
      </c>
      <c r="I18" s="25"/>
      <c r="J18" s="23"/>
      <c r="K18" s="17"/>
    </row>
    <row r="19" spans="1:12" x14ac:dyDescent="0.2">
      <c r="A19" s="81" t="s">
        <v>94</v>
      </c>
      <c r="B19" s="82"/>
      <c r="C19" s="82"/>
      <c r="D19" s="82"/>
      <c r="E19" s="82"/>
      <c r="F19" s="82"/>
      <c r="G19" s="83"/>
      <c r="H19" s="24" t="s">
        <v>99</v>
      </c>
      <c r="I19" s="25"/>
      <c r="J19" s="11"/>
      <c r="K19" s="17"/>
    </row>
    <row r="20" spans="1:12" ht="13.5" thickBot="1" x14ac:dyDescent="0.25">
      <c r="A20" s="146" t="s">
        <v>23</v>
      </c>
      <c r="B20" s="147"/>
      <c r="C20" s="147"/>
      <c r="D20" s="147"/>
      <c r="E20" s="147"/>
      <c r="F20" s="147"/>
      <c r="G20" s="148"/>
      <c r="H20" s="24" t="s">
        <v>99</v>
      </c>
      <c r="I20" s="12"/>
      <c r="J20" s="11"/>
      <c r="K20" s="17"/>
    </row>
    <row r="21" spans="1:12" ht="13.5" thickBot="1" x14ac:dyDescent="0.25">
      <c r="A21" s="137"/>
      <c r="B21" s="137"/>
      <c r="C21" s="137"/>
      <c r="D21" s="137"/>
      <c r="E21" s="137"/>
      <c r="F21" s="137"/>
      <c r="G21" s="137"/>
      <c r="H21" s="137"/>
      <c r="I21" s="137"/>
      <c r="J21" s="138"/>
      <c r="K21" s="17"/>
    </row>
    <row r="22" spans="1:12" ht="13.5" thickBot="1" x14ac:dyDescent="0.25">
      <c r="A22" s="84" t="s">
        <v>24</v>
      </c>
      <c r="B22" s="115" t="s">
        <v>25</v>
      </c>
      <c r="C22" s="116"/>
      <c r="D22" s="116"/>
      <c r="E22" s="116"/>
      <c r="F22" s="116"/>
      <c r="G22" s="116"/>
      <c r="H22" s="116"/>
      <c r="I22" s="117"/>
      <c r="J22" s="26"/>
      <c r="K22" s="17"/>
    </row>
    <row r="23" spans="1:12" ht="13.5" thickBot="1" x14ac:dyDescent="0.25">
      <c r="A23" s="85"/>
      <c r="B23" s="139" t="s">
        <v>26</v>
      </c>
      <c r="C23" s="140"/>
      <c r="D23" s="140"/>
      <c r="E23" s="140"/>
      <c r="F23" s="140"/>
      <c r="G23" s="141"/>
      <c r="H23" s="27" t="s">
        <v>95</v>
      </c>
      <c r="I23" s="27" t="s">
        <v>96</v>
      </c>
      <c r="J23" s="17"/>
      <c r="K23" s="17"/>
    </row>
    <row r="24" spans="1:12" x14ac:dyDescent="0.2">
      <c r="A24" s="28" t="s">
        <v>27</v>
      </c>
      <c r="B24" s="142" t="s">
        <v>28</v>
      </c>
      <c r="C24" s="143"/>
      <c r="D24" s="143"/>
      <c r="E24" s="143"/>
      <c r="F24" s="143"/>
      <c r="G24" s="144"/>
      <c r="H24" s="29" t="s">
        <v>95</v>
      </c>
      <c r="I24" s="14"/>
      <c r="J24" s="17"/>
      <c r="K24" s="17"/>
    </row>
    <row r="25" spans="1:12" x14ac:dyDescent="0.2">
      <c r="A25" s="30" t="s">
        <v>29</v>
      </c>
      <c r="B25" s="131" t="s">
        <v>30</v>
      </c>
      <c r="C25" s="132"/>
      <c r="D25" s="132"/>
      <c r="E25" s="132"/>
      <c r="F25" s="132"/>
      <c r="G25" s="133"/>
      <c r="H25" s="31" t="s">
        <v>95</v>
      </c>
      <c r="I25" s="15"/>
      <c r="J25" s="17"/>
      <c r="K25" s="17"/>
    </row>
    <row r="26" spans="1:12" x14ac:dyDescent="0.2">
      <c r="A26" s="30" t="s">
        <v>31</v>
      </c>
      <c r="B26" s="131" t="s">
        <v>44</v>
      </c>
      <c r="C26" s="132"/>
      <c r="D26" s="132"/>
      <c r="E26" s="132"/>
      <c r="F26" s="132"/>
      <c r="G26" s="133"/>
      <c r="H26" s="31" t="s">
        <v>95</v>
      </c>
      <c r="I26" s="15"/>
      <c r="J26" s="17"/>
      <c r="K26" s="17"/>
    </row>
    <row r="27" spans="1:12" x14ac:dyDescent="0.2">
      <c r="A27" s="30" t="s">
        <v>32</v>
      </c>
      <c r="B27" s="131" t="s">
        <v>45</v>
      </c>
      <c r="C27" s="132"/>
      <c r="D27" s="132"/>
      <c r="E27" s="132"/>
      <c r="F27" s="132"/>
      <c r="G27" s="133"/>
      <c r="H27" s="31" t="s">
        <v>95</v>
      </c>
      <c r="I27" s="15"/>
      <c r="J27" s="17"/>
      <c r="K27" s="17"/>
    </row>
    <row r="28" spans="1:12" x14ac:dyDescent="0.2">
      <c r="A28" s="30" t="s">
        <v>33</v>
      </c>
      <c r="B28" s="131" t="s">
        <v>34</v>
      </c>
      <c r="C28" s="132"/>
      <c r="D28" s="132"/>
      <c r="E28" s="132"/>
      <c r="F28" s="132"/>
      <c r="G28" s="133"/>
      <c r="H28" s="31" t="s">
        <v>95</v>
      </c>
      <c r="I28" s="15"/>
      <c r="J28" s="17"/>
      <c r="K28" s="17"/>
    </row>
    <row r="29" spans="1:12" x14ac:dyDescent="0.2">
      <c r="A29" s="30" t="s">
        <v>35</v>
      </c>
      <c r="B29" s="131" t="s">
        <v>47</v>
      </c>
      <c r="C29" s="132"/>
      <c r="D29" s="132"/>
      <c r="E29" s="132"/>
      <c r="F29" s="132"/>
      <c r="G29" s="133"/>
      <c r="H29" s="31" t="s">
        <v>95</v>
      </c>
      <c r="I29" s="15"/>
      <c r="J29" s="17"/>
      <c r="K29" s="17"/>
    </row>
    <row r="30" spans="1:12" x14ac:dyDescent="0.2">
      <c r="A30" s="30" t="s">
        <v>36</v>
      </c>
      <c r="B30" s="131" t="s">
        <v>46</v>
      </c>
      <c r="C30" s="132"/>
      <c r="D30" s="132"/>
      <c r="E30" s="132"/>
      <c r="F30" s="132"/>
      <c r="G30" s="133"/>
      <c r="H30" s="31" t="s">
        <v>95</v>
      </c>
      <c r="I30" s="15"/>
      <c r="J30" s="17"/>
      <c r="K30" s="17"/>
      <c r="L30" s="10"/>
    </row>
    <row r="31" spans="1:12" x14ac:dyDescent="0.2">
      <c r="A31" s="30" t="s">
        <v>38</v>
      </c>
      <c r="B31" s="131" t="s">
        <v>48</v>
      </c>
      <c r="C31" s="132"/>
      <c r="D31" s="132"/>
      <c r="E31" s="132"/>
      <c r="F31" s="132"/>
      <c r="G31" s="133"/>
      <c r="H31" s="31" t="s">
        <v>103</v>
      </c>
      <c r="I31" s="15"/>
      <c r="J31" s="17"/>
      <c r="K31" s="17"/>
      <c r="L31" s="10"/>
    </row>
    <row r="32" spans="1:12" x14ac:dyDescent="0.2">
      <c r="A32" s="30" t="s">
        <v>39</v>
      </c>
      <c r="B32" s="131" t="s">
        <v>37</v>
      </c>
      <c r="C32" s="132"/>
      <c r="D32" s="132"/>
      <c r="E32" s="132"/>
      <c r="F32" s="132"/>
      <c r="G32" s="133"/>
      <c r="H32" s="31" t="s">
        <v>95</v>
      </c>
      <c r="I32" s="15"/>
      <c r="J32" s="17"/>
      <c r="K32" s="17"/>
      <c r="L32" s="10"/>
    </row>
    <row r="33" spans="1:12" x14ac:dyDescent="0.2">
      <c r="A33" s="30" t="s">
        <v>41</v>
      </c>
      <c r="B33" s="131" t="s">
        <v>40</v>
      </c>
      <c r="C33" s="132"/>
      <c r="D33" s="132"/>
      <c r="E33" s="132"/>
      <c r="F33" s="132"/>
      <c r="G33" s="133"/>
      <c r="H33" s="31" t="s">
        <v>103</v>
      </c>
      <c r="I33" s="15"/>
      <c r="J33" s="17"/>
      <c r="K33" s="17"/>
      <c r="L33" s="10"/>
    </row>
    <row r="34" spans="1:12" ht="13.5" thickBot="1" x14ac:dyDescent="0.25">
      <c r="A34" s="32" t="s">
        <v>42</v>
      </c>
      <c r="B34" s="134" t="s">
        <v>43</v>
      </c>
      <c r="C34" s="135"/>
      <c r="D34" s="135"/>
      <c r="E34" s="135"/>
      <c r="F34" s="135"/>
      <c r="G34" s="136"/>
      <c r="H34" s="33" t="s">
        <v>95</v>
      </c>
      <c r="I34" s="34"/>
      <c r="J34" s="17"/>
      <c r="K34" s="17"/>
    </row>
    <row r="35" spans="1:12" ht="13.5" thickBot="1" x14ac:dyDescent="0.25">
      <c r="A35" s="35"/>
      <c r="B35" s="35"/>
      <c r="C35" s="35"/>
      <c r="D35" s="35"/>
      <c r="E35" s="35"/>
      <c r="F35" s="35"/>
      <c r="G35" s="35"/>
      <c r="H35" s="11"/>
      <c r="I35" s="11"/>
      <c r="J35" s="11"/>
      <c r="K35" s="17"/>
    </row>
    <row r="36" spans="1:12" ht="13.5" thickBot="1" x14ac:dyDescent="0.25">
      <c r="A36" s="56" t="s">
        <v>49</v>
      </c>
      <c r="B36" s="152" t="s">
        <v>50</v>
      </c>
      <c r="C36" s="153"/>
      <c r="D36" s="153"/>
      <c r="E36" s="153"/>
      <c r="F36" s="153"/>
      <c r="G36" s="153"/>
      <c r="H36" s="153"/>
      <c r="I36" s="153"/>
      <c r="J36" s="154"/>
      <c r="K36" s="17"/>
    </row>
    <row r="37" spans="1:12" ht="13.5" thickBot="1" x14ac:dyDescent="0.25">
      <c r="A37" s="57" t="s">
        <v>51</v>
      </c>
      <c r="B37" s="155" t="s">
        <v>52</v>
      </c>
      <c r="C37" s="156"/>
      <c r="D37" s="156"/>
      <c r="E37" s="156"/>
      <c r="F37" s="156"/>
      <c r="G37" s="156"/>
      <c r="H37" s="156"/>
      <c r="I37" s="62"/>
      <c r="J37" s="63"/>
      <c r="K37" s="17"/>
    </row>
    <row r="38" spans="1:12" x14ac:dyDescent="0.2">
      <c r="A38" s="58"/>
      <c r="B38" s="96" t="s">
        <v>66</v>
      </c>
      <c r="C38" s="97"/>
      <c r="D38" s="97"/>
      <c r="E38" s="97"/>
      <c r="F38" s="97"/>
      <c r="G38" s="97"/>
      <c r="H38" s="97"/>
      <c r="I38" s="13">
        <v>0.2</v>
      </c>
      <c r="J38" s="37" t="s">
        <v>10</v>
      </c>
      <c r="K38" s="17"/>
    </row>
    <row r="39" spans="1:12" ht="13.5" thickBot="1" x14ac:dyDescent="0.25">
      <c r="A39" s="59"/>
      <c r="B39" s="118" t="s">
        <v>67</v>
      </c>
      <c r="C39" s="119"/>
      <c r="D39" s="119"/>
      <c r="E39" s="119"/>
      <c r="F39" s="119"/>
      <c r="G39" s="119"/>
      <c r="H39" s="119"/>
      <c r="I39" s="64">
        <v>0.1</v>
      </c>
      <c r="J39" s="65" t="s">
        <v>10</v>
      </c>
      <c r="K39" s="17"/>
    </row>
    <row r="40" spans="1:12" ht="13.5" thickBot="1" x14ac:dyDescent="0.25">
      <c r="A40" s="57" t="s">
        <v>53</v>
      </c>
      <c r="B40" s="122" t="s">
        <v>58</v>
      </c>
      <c r="C40" s="123"/>
      <c r="D40" s="123"/>
      <c r="E40" s="123"/>
      <c r="F40" s="123"/>
      <c r="G40" s="123"/>
      <c r="H40" s="123"/>
      <c r="I40" s="66"/>
      <c r="J40" s="36"/>
      <c r="K40" s="17"/>
    </row>
    <row r="41" spans="1:12" x14ac:dyDescent="0.2">
      <c r="A41" s="58"/>
      <c r="B41" s="96" t="s">
        <v>68</v>
      </c>
      <c r="C41" s="97"/>
      <c r="D41" s="97"/>
      <c r="E41" s="97"/>
      <c r="F41" s="97"/>
      <c r="G41" s="97"/>
      <c r="H41" s="97"/>
      <c r="I41" s="13">
        <v>1</v>
      </c>
      <c r="J41" s="37" t="s">
        <v>10</v>
      </c>
      <c r="K41" s="17"/>
    </row>
    <row r="42" spans="1:12" ht="13.5" thickBot="1" x14ac:dyDescent="0.25">
      <c r="A42" s="60"/>
      <c r="B42" s="118" t="s">
        <v>18</v>
      </c>
      <c r="C42" s="119"/>
      <c r="D42" s="119"/>
      <c r="E42" s="119"/>
      <c r="F42" s="119"/>
      <c r="G42" s="119"/>
      <c r="H42" s="119"/>
      <c r="I42" s="113" t="s">
        <v>54</v>
      </c>
      <c r="J42" s="114"/>
      <c r="K42" s="17"/>
    </row>
    <row r="43" spans="1:12" ht="26.25" thickBot="1" x14ac:dyDescent="0.25">
      <c r="A43" s="39" t="s">
        <v>59</v>
      </c>
      <c r="B43" s="109" t="s">
        <v>55</v>
      </c>
      <c r="C43" s="110"/>
      <c r="D43" s="110"/>
      <c r="E43" s="110"/>
      <c r="F43" s="110"/>
      <c r="G43" s="110"/>
      <c r="H43" s="16" t="s">
        <v>15</v>
      </c>
      <c r="I43" s="16" t="s">
        <v>57</v>
      </c>
      <c r="J43" s="40" t="s">
        <v>17</v>
      </c>
      <c r="K43" s="17"/>
    </row>
    <row r="44" spans="1:12" x14ac:dyDescent="0.2">
      <c r="A44" s="51"/>
      <c r="B44" s="96" t="s">
        <v>12</v>
      </c>
      <c r="C44" s="97"/>
      <c r="D44" s="97"/>
      <c r="E44" s="97"/>
      <c r="F44" s="97"/>
      <c r="G44" s="97"/>
      <c r="H44" s="13">
        <v>36.6</v>
      </c>
      <c r="I44" s="13">
        <v>37</v>
      </c>
      <c r="J44" s="37" t="s">
        <v>10</v>
      </c>
      <c r="K44" s="17"/>
    </row>
    <row r="45" spans="1:12" x14ac:dyDescent="0.2">
      <c r="A45" s="51"/>
      <c r="B45" s="101" t="s">
        <v>13</v>
      </c>
      <c r="C45" s="130"/>
      <c r="D45" s="130"/>
      <c r="E45" s="130"/>
      <c r="F45" s="130"/>
      <c r="G45" s="130"/>
      <c r="H45" s="41">
        <v>36.4</v>
      </c>
      <c r="I45" s="41">
        <v>37</v>
      </c>
      <c r="J45" s="42" t="s">
        <v>10</v>
      </c>
      <c r="K45" s="17"/>
    </row>
    <row r="46" spans="1:12" ht="13.5" thickBot="1" x14ac:dyDescent="0.25">
      <c r="A46" s="52"/>
      <c r="B46" s="118" t="s">
        <v>14</v>
      </c>
      <c r="C46" s="119"/>
      <c r="D46" s="119"/>
      <c r="E46" s="119"/>
      <c r="F46" s="119"/>
      <c r="G46" s="119"/>
      <c r="H46" s="64">
        <v>37.4</v>
      </c>
      <c r="I46" s="64">
        <v>37</v>
      </c>
      <c r="J46" s="65" t="s">
        <v>10</v>
      </c>
      <c r="K46" s="17"/>
    </row>
    <row r="47" spans="1:12" ht="13.5" thickBot="1" x14ac:dyDescent="0.25">
      <c r="A47" s="39" t="s">
        <v>60</v>
      </c>
      <c r="B47" s="109" t="s">
        <v>56</v>
      </c>
      <c r="C47" s="110"/>
      <c r="D47" s="110"/>
      <c r="E47" s="110"/>
      <c r="F47" s="110"/>
      <c r="G47" s="110"/>
      <c r="H47" s="110"/>
      <c r="I47" s="66"/>
      <c r="J47" s="36"/>
      <c r="K47" s="17"/>
    </row>
    <row r="48" spans="1:12" x14ac:dyDescent="0.2">
      <c r="A48" s="51" t="s">
        <v>75</v>
      </c>
      <c r="B48" s="96" t="s">
        <v>69</v>
      </c>
      <c r="C48" s="97"/>
      <c r="D48" s="97"/>
      <c r="E48" s="97"/>
      <c r="F48" s="97"/>
      <c r="G48" s="97"/>
      <c r="H48" s="97"/>
      <c r="I48" s="13">
        <f>2*SQRT(_xlfn.STDEV.S(H44:H46)^2+_xlfn.STDEV.S(I44:I46)^2+0.084*I39^2+0.084*I41^2+0.25*I38^2)</f>
        <v>1.2244835646099943</v>
      </c>
      <c r="J48" s="37" t="s">
        <v>10</v>
      </c>
      <c r="K48" s="17"/>
    </row>
    <row r="49" spans="1:11" x14ac:dyDescent="0.2">
      <c r="A49" s="51" t="s">
        <v>76</v>
      </c>
      <c r="B49" s="101" t="s">
        <v>71</v>
      </c>
      <c r="C49" s="130"/>
      <c r="D49" s="130"/>
      <c r="E49" s="130"/>
      <c r="F49" s="130"/>
      <c r="G49" s="130"/>
      <c r="H49" s="130"/>
      <c r="I49" s="41">
        <f>ABS(AVERAGE(H44:H46)-AVERAGE(I44:I46))</f>
        <v>0.19999999999999574</v>
      </c>
      <c r="J49" s="42" t="s">
        <v>10</v>
      </c>
      <c r="K49" s="17"/>
    </row>
    <row r="50" spans="1:11" ht="13.5" thickBot="1" x14ac:dyDescent="0.25">
      <c r="A50" s="52" t="s">
        <v>77</v>
      </c>
      <c r="B50" s="103" t="s">
        <v>70</v>
      </c>
      <c r="C50" s="104"/>
      <c r="D50" s="104"/>
      <c r="E50" s="104"/>
      <c r="F50" s="104"/>
      <c r="G50" s="104"/>
      <c r="H50" s="104"/>
      <c r="I50" s="43">
        <f>ABS(I48+I49)</f>
        <v>1.42448356460999</v>
      </c>
      <c r="J50" s="38" t="s">
        <v>10</v>
      </c>
      <c r="K50" s="17"/>
    </row>
    <row r="51" spans="1:11" ht="13.5" thickBot="1" x14ac:dyDescent="0.25">
      <c r="A51" s="44"/>
      <c r="B51" s="45"/>
      <c r="C51" s="45"/>
      <c r="D51" s="45"/>
      <c r="E51" s="45"/>
      <c r="F51" s="45"/>
      <c r="G51" s="45"/>
      <c r="H51" s="23"/>
      <c r="I51" s="23"/>
      <c r="J51" s="23"/>
      <c r="K51" s="17"/>
    </row>
    <row r="52" spans="1:11" ht="13.5" customHeight="1" x14ac:dyDescent="0.2">
      <c r="A52" s="111" t="s">
        <v>72</v>
      </c>
      <c r="B52" s="92" t="s">
        <v>78</v>
      </c>
      <c r="C52" s="93"/>
      <c r="D52" s="93"/>
      <c r="E52" s="93"/>
      <c r="F52" s="93"/>
      <c r="G52" s="93"/>
      <c r="H52" s="93"/>
      <c r="I52" s="93"/>
      <c r="J52" s="93" t="s">
        <v>95</v>
      </c>
      <c r="K52" s="86" t="s">
        <v>96</v>
      </c>
    </row>
    <row r="53" spans="1:11" ht="13.5" thickBot="1" x14ac:dyDescent="0.25">
      <c r="A53" s="112"/>
      <c r="B53" s="151"/>
      <c r="C53" s="98"/>
      <c r="D53" s="98"/>
      <c r="E53" s="98"/>
      <c r="F53" s="98"/>
      <c r="G53" s="98"/>
      <c r="H53" s="98"/>
      <c r="I53" s="98"/>
      <c r="J53" s="98"/>
      <c r="K53" s="88"/>
    </row>
    <row r="54" spans="1:11" x14ac:dyDescent="0.2">
      <c r="A54" s="50" t="s">
        <v>79</v>
      </c>
      <c r="B54" s="99" t="s">
        <v>65</v>
      </c>
      <c r="C54" s="100"/>
      <c r="D54" s="100"/>
      <c r="E54" s="100"/>
      <c r="F54" s="100"/>
      <c r="G54" s="100"/>
      <c r="H54" s="100"/>
      <c r="I54" s="100"/>
      <c r="J54" s="55"/>
      <c r="K54" s="61"/>
    </row>
    <row r="55" spans="1:11" ht="13.5" thickBot="1" x14ac:dyDescent="0.25">
      <c r="A55" s="51"/>
      <c r="B55" s="89" t="s">
        <v>61</v>
      </c>
      <c r="C55" s="90"/>
      <c r="D55" s="90"/>
      <c r="E55" s="90"/>
      <c r="F55" s="90"/>
      <c r="G55" s="90"/>
      <c r="H55" s="90"/>
      <c r="I55" s="90"/>
      <c r="J55" s="90"/>
      <c r="K55" s="91"/>
    </row>
    <row r="56" spans="1:11" x14ac:dyDescent="0.2">
      <c r="A56" s="51"/>
      <c r="B56" s="96" t="s">
        <v>62</v>
      </c>
      <c r="C56" s="97"/>
      <c r="D56" s="97"/>
      <c r="E56" s="97"/>
      <c r="F56" s="97"/>
      <c r="G56" s="97"/>
      <c r="H56" s="97"/>
      <c r="I56" s="97"/>
      <c r="J56" s="67" t="s">
        <v>99</v>
      </c>
      <c r="K56" s="46"/>
    </row>
    <row r="57" spans="1:11" ht="13.5" thickBot="1" x14ac:dyDescent="0.25">
      <c r="A57" s="52"/>
      <c r="B57" s="118" t="s">
        <v>63</v>
      </c>
      <c r="C57" s="119"/>
      <c r="D57" s="119"/>
      <c r="E57" s="119"/>
      <c r="F57" s="119"/>
      <c r="G57" s="119"/>
      <c r="H57" s="119"/>
      <c r="I57" s="119"/>
      <c r="J57" s="68" t="s">
        <v>99</v>
      </c>
      <c r="K57" s="53"/>
    </row>
    <row r="58" spans="1:11" x14ac:dyDescent="0.2">
      <c r="A58" s="50" t="s">
        <v>80</v>
      </c>
      <c r="B58" s="120" t="s">
        <v>64</v>
      </c>
      <c r="C58" s="121"/>
      <c r="D58" s="121"/>
      <c r="E58" s="121"/>
      <c r="F58" s="121"/>
      <c r="G58" s="121"/>
      <c r="H58" s="121"/>
      <c r="I58" s="121"/>
      <c r="J58" s="69"/>
      <c r="K58" s="70"/>
    </row>
    <row r="59" spans="1:11" ht="13.5" thickBot="1" x14ac:dyDescent="0.25">
      <c r="A59" s="51"/>
      <c r="B59" s="89" t="s">
        <v>61</v>
      </c>
      <c r="C59" s="90"/>
      <c r="D59" s="90"/>
      <c r="E59" s="90"/>
      <c r="F59" s="90"/>
      <c r="G59" s="90"/>
      <c r="H59" s="90"/>
      <c r="I59" s="90"/>
      <c r="J59" s="90"/>
      <c r="K59" s="91"/>
    </row>
    <row r="60" spans="1:11" x14ac:dyDescent="0.2">
      <c r="A60" s="51"/>
      <c r="B60" s="96" t="s">
        <v>62</v>
      </c>
      <c r="C60" s="97"/>
      <c r="D60" s="97"/>
      <c r="E60" s="97"/>
      <c r="F60" s="97"/>
      <c r="G60" s="97"/>
      <c r="H60" s="97"/>
      <c r="I60" s="97"/>
      <c r="J60" s="67" t="s">
        <v>99</v>
      </c>
      <c r="K60" s="46"/>
    </row>
    <row r="61" spans="1:11" ht="13.5" thickBot="1" x14ac:dyDescent="0.25">
      <c r="A61" s="54"/>
      <c r="B61" s="118" t="s">
        <v>63</v>
      </c>
      <c r="C61" s="119"/>
      <c r="D61" s="119"/>
      <c r="E61" s="119"/>
      <c r="F61" s="119"/>
      <c r="G61" s="119"/>
      <c r="H61" s="119"/>
      <c r="I61" s="119"/>
      <c r="J61" s="68" t="s">
        <v>99</v>
      </c>
      <c r="K61" s="53"/>
    </row>
    <row r="62" spans="1:11" x14ac:dyDescent="0.2">
      <c r="A62" s="111" t="s">
        <v>81</v>
      </c>
      <c r="B62" s="92" t="s">
        <v>74</v>
      </c>
      <c r="C62" s="93"/>
      <c r="D62" s="93"/>
      <c r="E62" s="93"/>
      <c r="F62" s="93"/>
      <c r="G62" s="93"/>
      <c r="H62" s="93"/>
      <c r="I62" s="93"/>
      <c r="J62" s="93" t="s">
        <v>95</v>
      </c>
      <c r="K62" s="86" t="s">
        <v>96</v>
      </c>
    </row>
    <row r="63" spans="1:11" ht="13.5" thickBot="1" x14ac:dyDescent="0.25">
      <c r="A63" s="112"/>
      <c r="B63" s="94"/>
      <c r="C63" s="95"/>
      <c r="D63" s="95"/>
      <c r="E63" s="95"/>
      <c r="F63" s="95"/>
      <c r="G63" s="95"/>
      <c r="H63" s="95"/>
      <c r="I63" s="95"/>
      <c r="J63" s="95"/>
      <c r="K63" s="87"/>
    </row>
    <row r="64" spans="1:11" x14ac:dyDescent="0.2">
      <c r="A64" s="50" t="s">
        <v>82</v>
      </c>
      <c r="B64" s="128" t="s">
        <v>73</v>
      </c>
      <c r="C64" s="129"/>
      <c r="D64" s="129"/>
      <c r="E64" s="129"/>
      <c r="F64" s="129"/>
      <c r="G64" s="129"/>
      <c r="H64" s="129"/>
      <c r="I64" s="129"/>
      <c r="J64" s="13" t="s">
        <v>95</v>
      </c>
      <c r="K64" s="47"/>
    </row>
    <row r="65" spans="1:11" x14ac:dyDescent="0.2">
      <c r="A65" s="51" t="s">
        <v>83</v>
      </c>
      <c r="B65" s="101" t="s">
        <v>86</v>
      </c>
      <c r="C65" s="102"/>
      <c r="D65" s="102"/>
      <c r="E65" s="102"/>
      <c r="F65" s="102"/>
      <c r="G65" s="102"/>
      <c r="H65" s="102"/>
      <c r="I65" s="102"/>
      <c r="J65" s="74" t="s">
        <v>99</v>
      </c>
      <c r="K65" s="48"/>
    </row>
    <row r="66" spans="1:11" x14ac:dyDescent="0.2">
      <c r="A66" s="51" t="s">
        <v>84</v>
      </c>
      <c r="B66" s="101" t="s">
        <v>87</v>
      </c>
      <c r="C66" s="102"/>
      <c r="D66" s="102"/>
      <c r="E66" s="102"/>
      <c r="F66" s="102"/>
      <c r="G66" s="102"/>
      <c r="H66" s="102"/>
      <c r="I66" s="102"/>
      <c r="J66" s="74" t="s">
        <v>99</v>
      </c>
      <c r="K66" s="48"/>
    </row>
    <row r="67" spans="1:11" ht="13.5" thickBot="1" x14ac:dyDescent="0.25">
      <c r="A67" s="52" t="s">
        <v>85</v>
      </c>
      <c r="B67" s="103" t="s">
        <v>88</v>
      </c>
      <c r="C67" s="104"/>
      <c r="D67" s="104"/>
      <c r="E67" s="104"/>
      <c r="F67" s="104"/>
      <c r="G67" s="104"/>
      <c r="H67" s="104"/>
      <c r="I67" s="104"/>
      <c r="J67" s="43" t="s">
        <v>95</v>
      </c>
      <c r="K67" s="49"/>
    </row>
  </sheetData>
  <mergeCells count="77">
    <mergeCell ref="A12:B12"/>
    <mergeCell ref="C1:H2"/>
    <mergeCell ref="F12:G12"/>
    <mergeCell ref="H10:J10"/>
    <mergeCell ref="A11:B11"/>
    <mergeCell ref="F11:G11"/>
    <mergeCell ref="I1:J2"/>
    <mergeCell ref="C3:H4"/>
    <mergeCell ref="H5:J5"/>
    <mergeCell ref="H6:J6"/>
    <mergeCell ref="H7:J7"/>
    <mergeCell ref="H8:J8"/>
    <mergeCell ref="H9:J9"/>
    <mergeCell ref="A5:C7"/>
    <mergeCell ref="D5:F7"/>
    <mergeCell ref="A8:C10"/>
    <mergeCell ref="A52:A53"/>
    <mergeCell ref="B27:G27"/>
    <mergeCell ref="B28:G28"/>
    <mergeCell ref="B29:G29"/>
    <mergeCell ref="B30:G30"/>
    <mergeCell ref="B31:G31"/>
    <mergeCell ref="B47:H47"/>
    <mergeCell ref="B52:I53"/>
    <mergeCell ref="B36:J36"/>
    <mergeCell ref="B37:H37"/>
    <mergeCell ref="B38:H38"/>
    <mergeCell ref="B39:H39"/>
    <mergeCell ref="B50:H50"/>
    <mergeCell ref="B49:H49"/>
    <mergeCell ref="B48:H48"/>
    <mergeCell ref="D8:F10"/>
    <mergeCell ref="B64:I64"/>
    <mergeCell ref="B44:G44"/>
    <mergeCell ref="B45:G45"/>
    <mergeCell ref="B46:G46"/>
    <mergeCell ref="B25:G25"/>
    <mergeCell ref="B26:G26"/>
    <mergeCell ref="B33:G33"/>
    <mergeCell ref="B34:G34"/>
    <mergeCell ref="A21:J21"/>
    <mergeCell ref="B23:G23"/>
    <mergeCell ref="B24:G24"/>
    <mergeCell ref="A14:J14"/>
    <mergeCell ref="B32:G32"/>
    <mergeCell ref="A20:G20"/>
    <mergeCell ref="A15:G15"/>
    <mergeCell ref="B65:I65"/>
    <mergeCell ref="B66:I66"/>
    <mergeCell ref="B67:I67"/>
    <mergeCell ref="A13:B13"/>
    <mergeCell ref="F13:G13"/>
    <mergeCell ref="B43:G43"/>
    <mergeCell ref="A62:A63"/>
    <mergeCell ref="I42:J42"/>
    <mergeCell ref="B22:I22"/>
    <mergeCell ref="B57:I57"/>
    <mergeCell ref="B58:I58"/>
    <mergeCell ref="B60:I60"/>
    <mergeCell ref="B61:I61"/>
    <mergeCell ref="B40:H40"/>
    <mergeCell ref="B41:H41"/>
    <mergeCell ref="B42:H42"/>
    <mergeCell ref="K62:K63"/>
    <mergeCell ref="K52:K53"/>
    <mergeCell ref="B55:K55"/>
    <mergeCell ref="B59:K59"/>
    <mergeCell ref="B62:I63"/>
    <mergeCell ref="J62:J63"/>
    <mergeCell ref="B56:I56"/>
    <mergeCell ref="J52:J53"/>
    <mergeCell ref="B54:I54"/>
    <mergeCell ref="A16:G16"/>
    <mergeCell ref="A17:G17"/>
    <mergeCell ref="A18:G18"/>
    <mergeCell ref="A19:G19"/>
    <mergeCell ref="A22:A23"/>
  </mergeCells>
  <conditionalFormatting sqref="H17:I17 I18:I19 H18:H20">
    <cfRule type="expression" dxfId="16" priority="5" stopIfTrue="1">
      <formula>H17="X"</formula>
    </cfRule>
    <cfRule type="expression" dxfId="15" priority="6" stopIfTrue="1">
      <formula>H17=" "</formula>
    </cfRule>
  </conditionalFormatting>
  <conditionalFormatting sqref="H24:I34">
    <cfRule type="expression" dxfId="14" priority="2" stopIfTrue="1">
      <formula>H24="F"</formula>
    </cfRule>
    <cfRule type="expression" dxfId="13" priority="3" stopIfTrue="1">
      <formula>H24="P"</formula>
    </cfRule>
  </conditionalFormatting>
  <conditionalFormatting sqref="H16:J16">
    <cfRule type="expression" dxfId="12" priority="4" stopIfTrue="1">
      <formula>H16="X"</formula>
    </cfRule>
  </conditionalFormatting>
  <conditionalFormatting sqref="H44:J46 H51:J51">
    <cfRule type="expression" dxfId="11" priority="50" stopIfTrue="1">
      <formula>H44="F"</formula>
    </cfRule>
    <cfRule type="expression" dxfId="10" priority="51" stopIfTrue="1">
      <formula>H44="P"</formula>
    </cfRule>
  </conditionalFormatting>
  <conditionalFormatting sqref="I38:J38">
    <cfRule type="expression" dxfId="9" priority="52" stopIfTrue="1">
      <formula>I38="X"</formula>
    </cfRule>
  </conditionalFormatting>
  <conditionalFormatting sqref="I39:J39">
    <cfRule type="expression" dxfId="8" priority="53" stopIfTrue="1">
      <formula>I39="X"</formula>
    </cfRule>
    <cfRule type="expression" dxfId="7" priority="54" stopIfTrue="1">
      <formula>I39=" "</formula>
    </cfRule>
  </conditionalFormatting>
  <conditionalFormatting sqref="I41:J41">
    <cfRule type="expression" dxfId="6" priority="42" stopIfTrue="1">
      <formula>I41="X"</formula>
    </cfRule>
  </conditionalFormatting>
  <conditionalFormatting sqref="I50:J50">
    <cfRule type="expression" dxfId="5" priority="8" stopIfTrue="1">
      <formula>AND($I$42="Ambiental (2 °C)",$I$50&gt;2)</formula>
    </cfRule>
    <cfRule type="expression" dxfId="4" priority="9" stopIfTrue="1">
      <formula>AND($I$42="Laboratorio (1 °C)",$I$50&gt;1)</formula>
    </cfRule>
  </conditionalFormatting>
  <conditionalFormatting sqref="J17:J18">
    <cfRule type="expression" dxfId="3" priority="39" stopIfTrue="1">
      <formula>J17="X"</formula>
    </cfRule>
    <cfRule type="expression" dxfId="2" priority="40" stopIfTrue="1">
      <formula>J17=" "</formula>
    </cfRule>
  </conditionalFormatting>
  <conditionalFormatting sqref="J64 J67">
    <cfRule type="cellIs" dxfId="1" priority="7" stopIfTrue="1" operator="equal">
      <formula>"F"</formula>
    </cfRule>
  </conditionalFormatting>
  <conditionalFormatting sqref="K64:K67">
    <cfRule type="cellIs" dxfId="0" priority="1" stopIfTrue="1" operator="equal">
      <formula>"F"</formula>
    </cfRule>
  </conditionalFormatting>
  <dataValidations count="1">
    <dataValidation type="list" allowBlank="1" showInputMessage="1" showErrorMessage="1" sqref="I42:J42" xr:uid="{00000000-0002-0000-0000-000000000000}">
      <formula1>"Ambiental (2 °C),Laboratorio (1 °C)"</formula1>
    </dataValidation>
  </dataValidations>
  <pageMargins left="0.70866141732283472" right="0.70866141732283472" top="0.74803149606299213" bottom="0.74803149606299213" header="0.31496062992125984" footer="0.31496062992125984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Termómetros</vt:lpstr>
    </vt:vector>
  </TitlesOfParts>
  <Company>Swissmedical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los Arcos</dc:creator>
  <cp:lastModifiedBy>Henry Salinas Pedroza</cp:lastModifiedBy>
  <cp:lastPrinted>2025-04-12T12:49:27Z</cp:lastPrinted>
  <dcterms:created xsi:type="dcterms:W3CDTF">2006-11-22T19:14:30Z</dcterms:created>
  <dcterms:modified xsi:type="dcterms:W3CDTF">2026-03-11T16:31:52Z</dcterms:modified>
</cp:coreProperties>
</file>